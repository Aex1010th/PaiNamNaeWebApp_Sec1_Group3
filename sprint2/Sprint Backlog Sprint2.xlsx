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<sst xmlns="http://schemas.openxmlformats.org/spreadsheetml/2006/main" count="80" uniqueCount="63">
  <si>
    <t>Sprint No.</t>
  </si>
  <si>
    <t>Product Backlog Item</t>
  </si>
  <si>
    <t>Sprint Tasks</t>
  </si>
  <si>
    <t>Initial Estimate of Effort (Hr.)</t>
  </si>
  <si>
    <t>Volunteer</t>
  </si>
  <si>
    <t>Actual Time (Hr.)</t>
  </si>
  <si>
    <t>พ</t>
  </si>
  <si>
    <t>พฤ</t>
  </si>
  <si>
    <t>ศ</t>
  </si>
  <si>
    <t>ส</t>
  </si>
  <si>
    <t>อา</t>
  </si>
  <si>
    <t>จ</t>
  </si>
  <si>
    <t>อ</t>
  </si>
  <si>
    <t>As an admin, I want to keep the users updated on their reported incidents. / As a driver, I want to report incidents to the admin and get the update on the filed case.</t>
  </si>
  <si>
    <t>Doc</t>
  </si>
  <si>
    <t>A-Dapt Blueprint</t>
  </si>
  <si>
    <t>EveryOne</t>
  </si>
  <si>
    <t>Frontend</t>
  </si>
  <si>
    <t>แบ่งส่วนการทำงานสำหรับการรายงานปัญหาของ Driver และ Admin</t>
  </si>
  <si>
    <t>ออกแบบหน้าแบบฟอร์มสำหรับการรายงานปัญหาระบบ Driver และ Admin</t>
  </si>
  <si>
    <t>Chayasak</t>
  </si>
  <si>
    <t>ออกแบบหน้ารายงานปัญหาสำหรับ Driver</t>
  </si>
  <si>
    <t>Niphada</t>
  </si>
  <si>
    <t>ออกแบบหน้า report management สำหรับ admin</t>
  </si>
  <si>
    <t>Ausdawut/Phitchapa</t>
  </si>
  <si>
    <t>ออกแบบหน้าประวัติการรายงานประวัติการรายงานปัญหาของ Driver</t>
  </si>
  <si>
    <t>เพิ่มปุ่มสำหรับ รายงานปัญหาที่และลิ้งก์ไปยังหน้าแบบฟอร์มรายงานปัญหา</t>
  </si>
  <si>
    <t>Niphada/Phitchapa</t>
  </si>
  <si>
    <t>เขียนโค้ดหน้าฟอร์มสำหรับการรายงานปัญหาระบบ Driver และ Admin</t>
  </si>
  <si>
    <t>เขียนโค้ดหน้าประวัติการรายงานปัญหาสำหรับ Driver</t>
  </si>
  <si>
    <t>เขียนโค้ดหน้า report management สำหรับ admin</t>
  </si>
  <si>
    <t>burn down chart</t>
  </si>
  <si>
    <t>ตกแต่งหน้า report management และแก้ conflic ของ code</t>
  </si>
  <si>
    <t>Phitchapa</t>
  </si>
  <si>
    <t>ทำ Test Design</t>
  </si>
  <si>
    <t>Supawit</t>
  </si>
  <si>
    <t>Sprint burn down chart</t>
  </si>
  <si>
    <t>เขียน User Manual</t>
  </si>
  <si>
    <t>papop</t>
  </si>
  <si>
    <t>Backend</t>
  </si>
  <si>
    <t>เชื่อม และ แก้ไข Database  สำหรับการ report</t>
  </si>
  <si>
    <t>supawit</t>
  </si>
  <si>
    <t>Sprint No.2</t>
  </si>
  <si>
    <t>Remain effort</t>
  </si>
  <si>
    <t>migrations database</t>
  </si>
  <si>
    <t>Ideal effort</t>
  </si>
  <si>
    <t>เขียน Route สำหรับการ report</t>
  </si>
  <si>
    <t>papop/Phakhawat</t>
  </si>
  <si>
    <t>เพิ่มข้อมูลในValidation</t>
  </si>
  <si>
    <t>Phakhawat</t>
  </si>
  <si>
    <t>เพิ่ิ่มฟังก์ชั่นในService</t>
  </si>
  <si>
    <t>สร้างController</t>
  </si>
  <si>
    <t>เชื่อมต่อFrontend และ Backend</t>
  </si>
  <si>
    <t>แก้Confilict ข้อมูล</t>
  </si>
  <si>
    <t>แก้ไขบัคที่พบ</t>
  </si>
  <si>
    <t>Test</t>
  </si>
  <si>
    <t>เขียนโค้ด test UAT และทำการทดสอบ</t>
  </si>
  <si>
    <t>papop/supawit</t>
  </si>
  <si>
    <t>เขียนโค้ด test API และลองทดสอบ</t>
  </si>
  <si>
    <t>ทำ Report UAT Test</t>
  </si>
  <si>
    <t>ทำ Report API Test</t>
  </si>
  <si>
    <t>Deploy</t>
  </si>
  <si>
    <t xml:space="preserve">Deploy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</si>
</sst>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Sarabun"/>
    </font>
    <font/>
    <font>
      <sz val="18.0"/>
      <color theme="1"/>
      <name val="Arial"/>
      <scheme val="minor"/>
    </font>
    <font>
      <sz val="20.0"/>
      <color rgb="FF000000"/>
      <name val="&quot;Cordia New&quot;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1" numFmtId="0" xfId="0" applyAlignment="1" applyBorder="1" applyFont="1">
      <alignment horizontal="center" readingOrder="0" shrinkToFit="0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horizontal="center" readingOrder="0" shrinkToFit="0" wrapText="1"/>
    </xf>
    <xf borderId="10" fillId="0" fontId="3" numFmtId="0" xfId="0" applyAlignment="1" applyBorder="1" applyFont="1">
      <alignment horizontal="center" readingOrder="0" vertical="center"/>
    </xf>
    <xf borderId="11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shrinkToFit="0" wrapText="1"/>
    </xf>
    <xf borderId="10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vertical="bottom" wrapText="0"/>
    </xf>
    <xf borderId="10" fillId="0" fontId="1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readingOrder="0" shrinkToFit="0" vertical="bottom" wrapText="0"/>
    </xf>
    <xf borderId="10" fillId="0" fontId="4" numFmtId="0" xfId="0" applyAlignment="1" applyBorder="1" applyFont="1">
      <alignment horizontal="center" shrinkToFit="0" vertical="bottom" wrapText="0"/>
    </xf>
    <xf borderId="10" fillId="0" fontId="4" numFmtId="0" xfId="0" applyAlignment="1" applyBorder="1" applyFont="1">
      <alignment horizontal="center" readingOrder="0" shrinkToFit="0" vertical="bottom" wrapText="0"/>
    </xf>
    <xf borderId="10" fillId="0" fontId="1" numFmtId="0" xfId="0" applyAlignment="1" applyBorder="1" applyFont="1">
      <alignment horizontal="center" readingOrder="0" vertical="bottom"/>
    </xf>
    <xf borderId="10" fillId="0" fontId="4" numFmtId="0" xfId="0" applyAlignment="1" applyBorder="1" applyFont="1">
      <alignment horizontal="left" readingOrder="0" shrinkToFit="0" vertical="bottom" wrapText="0"/>
    </xf>
    <xf borderId="10" fillId="0" fontId="5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Down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Sheet1!$P$17:$Q$17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Sheet1!$R$16:$X$16</c:f>
            </c:strRef>
          </c:cat>
          <c:val>
            <c:numRef>
              <c:f>Sheet1!$R$17:$X$17</c:f>
              <c:numCache/>
            </c:numRef>
          </c:val>
          <c:smooth val="0"/>
        </c:ser>
        <c:ser>
          <c:idx val="1"/>
          <c:order val="1"/>
          <c:tx>
            <c:strRef>
              <c:f>Sheet1!$P$18:$Q$18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Sheet1!$R$16:$X$16</c:f>
            </c:strRef>
          </c:cat>
          <c:val>
            <c:numRef>
              <c:f>Sheet1!$R$18:$X$18</c:f>
              <c:numCache/>
            </c:numRef>
          </c:val>
          <c:smooth val="0"/>
        </c:ser>
        <c:axId val="572564934"/>
        <c:axId val="489045045"/>
      </c:lineChart>
      <c:catAx>
        <c:axId val="572564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Sprint burn down chart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045045"/>
      </c:catAx>
      <c:valAx>
        <c:axId val="489045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2564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714375</xdr:colOff>
      <xdr:row>21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25.63"/>
    <col customWidth="1" min="4" max="4" width="44.25"/>
    <col customWidth="1" min="5" max="5" width="21.38"/>
    <col customWidth="1" min="6" max="6" width="22.25"/>
    <col customWidth="1" min="7" max="7" width="4.63"/>
    <col customWidth="1" min="8" max="8" width="4.5"/>
    <col customWidth="1" min="9" max="11" width="4.38"/>
    <col customWidth="1" min="12" max="12" width="4.25"/>
    <col customWidth="1" min="13" max="13" width="4.38"/>
    <col customWidth="1" min="16" max="16" width="23.38"/>
    <col customWidth="1" min="17" max="17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2" t="s">
        <v>1</v>
      </c>
      <c r="C2" s="3" t="s">
        <v>2</v>
      </c>
      <c r="D2" s="4"/>
      <c r="E2" s="2" t="s">
        <v>3</v>
      </c>
      <c r="F2" s="2" t="s">
        <v>4</v>
      </c>
      <c r="G2" s="5" t="s">
        <v>5</v>
      </c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8"/>
      <c r="B3" s="8"/>
      <c r="C3" s="9"/>
      <c r="D3" s="10"/>
      <c r="E3" s="8"/>
      <c r="F3" s="8"/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">
        <v>2.0</v>
      </c>
      <c r="B4" s="2" t="s">
        <v>13</v>
      </c>
      <c r="C4" s="12" t="s">
        <v>14</v>
      </c>
      <c r="D4" s="11" t="s">
        <v>15</v>
      </c>
      <c r="E4" s="11">
        <v>3.0</v>
      </c>
      <c r="F4" s="11" t="s">
        <v>16</v>
      </c>
      <c r="G4" s="11">
        <v>3.0</v>
      </c>
      <c r="H4" s="11">
        <v>0.0</v>
      </c>
      <c r="I4" s="11">
        <v>0.0</v>
      </c>
      <c r="J4" s="11">
        <v>0.0</v>
      </c>
      <c r="K4" s="11">
        <v>0.0</v>
      </c>
      <c r="L4" s="11">
        <v>0.0</v>
      </c>
      <c r="M4" s="11">
        <v>3.0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3"/>
      <c r="B5" s="13"/>
      <c r="C5" s="14" t="s">
        <v>17</v>
      </c>
      <c r="D5" s="11" t="s">
        <v>18</v>
      </c>
      <c r="E5" s="11">
        <v>2.0</v>
      </c>
      <c r="F5" s="11" t="s">
        <v>16</v>
      </c>
      <c r="G5" s="11">
        <v>2.0</v>
      </c>
      <c r="H5" s="11">
        <v>0.0</v>
      </c>
      <c r="I5" s="11">
        <v>0.0</v>
      </c>
      <c r="J5" s="11">
        <v>0.0</v>
      </c>
      <c r="K5" s="11">
        <v>0.0</v>
      </c>
      <c r="L5" s="11">
        <v>0.0</v>
      </c>
      <c r="M5" s="11">
        <v>0.0</v>
      </c>
      <c r="N5" s="1"/>
      <c r="O5" s="15"/>
      <c r="P5" s="15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3"/>
      <c r="B6" s="13"/>
      <c r="C6" s="13"/>
      <c r="D6" s="11" t="s">
        <v>19</v>
      </c>
      <c r="E6" s="11">
        <v>2.0</v>
      </c>
      <c r="F6" s="11" t="s">
        <v>20</v>
      </c>
      <c r="G6" s="11">
        <v>0.0</v>
      </c>
      <c r="H6" s="11">
        <v>2.0</v>
      </c>
      <c r="I6" s="11">
        <v>0.0</v>
      </c>
      <c r="J6" s="11">
        <v>0.0</v>
      </c>
      <c r="K6" s="11">
        <v>0.0</v>
      </c>
      <c r="L6" s="11">
        <v>0.0</v>
      </c>
      <c r="M6" s="11">
        <v>0.0</v>
      </c>
      <c r="N6" s="1"/>
      <c r="O6" s="15"/>
      <c r="P6" s="15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/>
      <c r="B7" s="13"/>
      <c r="C7" s="13"/>
      <c r="D7" s="11" t="s">
        <v>21</v>
      </c>
      <c r="E7" s="11">
        <v>2.0</v>
      </c>
      <c r="F7" s="11" t="s">
        <v>22</v>
      </c>
      <c r="G7" s="11">
        <v>1.0</v>
      </c>
      <c r="H7" s="11">
        <v>1.0</v>
      </c>
      <c r="I7" s="11">
        <v>0.0</v>
      </c>
      <c r="J7" s="11">
        <v>0.0</v>
      </c>
      <c r="K7" s="11">
        <v>0.0</v>
      </c>
      <c r="L7" s="11">
        <v>0.0</v>
      </c>
      <c r="M7" s="11">
        <v>0.0</v>
      </c>
      <c r="N7" s="1"/>
      <c r="O7" s="15"/>
      <c r="P7" s="15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/>
      <c r="B8" s="13"/>
      <c r="C8" s="13"/>
      <c r="D8" s="11" t="s">
        <v>23</v>
      </c>
      <c r="E8" s="11">
        <v>3.0</v>
      </c>
      <c r="F8" s="11" t="s">
        <v>24</v>
      </c>
      <c r="G8" s="11">
        <v>3.0</v>
      </c>
      <c r="H8" s="11">
        <v>3.0</v>
      </c>
      <c r="I8" s="11">
        <v>0.0</v>
      </c>
      <c r="J8" s="11">
        <v>0.0</v>
      </c>
      <c r="K8" s="11">
        <v>0.0</v>
      </c>
      <c r="L8" s="11">
        <v>0.0</v>
      </c>
      <c r="M8" s="11">
        <v>0.0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/>
      <c r="B9" s="13"/>
      <c r="C9" s="13"/>
      <c r="D9" s="11" t="s">
        <v>25</v>
      </c>
      <c r="E9" s="11">
        <v>1.0</v>
      </c>
      <c r="F9" s="11" t="s">
        <v>22</v>
      </c>
      <c r="G9" s="11">
        <v>1.0</v>
      </c>
      <c r="H9" s="11">
        <v>1.0</v>
      </c>
      <c r="I9" s="11">
        <v>0.0</v>
      </c>
      <c r="J9" s="11">
        <v>0.0</v>
      </c>
      <c r="K9" s="11">
        <v>0.0</v>
      </c>
      <c r="L9" s="11">
        <v>0.0</v>
      </c>
      <c r="M9" s="11">
        <v>0.0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/>
      <c r="B10" s="13"/>
      <c r="C10" s="13"/>
      <c r="D10" s="11" t="s">
        <v>26</v>
      </c>
      <c r="E10" s="11">
        <v>1.0</v>
      </c>
      <c r="F10" s="11" t="s">
        <v>27</v>
      </c>
      <c r="G10" s="11">
        <v>1.0</v>
      </c>
      <c r="H10" s="11">
        <v>1.0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/>
      <c r="B11" s="13"/>
      <c r="C11" s="13"/>
      <c r="D11" s="11" t="s">
        <v>28</v>
      </c>
      <c r="E11" s="11">
        <v>6.0</v>
      </c>
      <c r="F11" s="11" t="s">
        <v>22</v>
      </c>
      <c r="G11" s="11">
        <v>0.0</v>
      </c>
      <c r="H11" s="11">
        <v>3.0</v>
      </c>
      <c r="I11" s="11">
        <v>2.0</v>
      </c>
      <c r="J11" s="11">
        <v>1.0</v>
      </c>
      <c r="K11" s="11">
        <v>0.0</v>
      </c>
      <c r="L11" s="11">
        <v>0.0</v>
      </c>
      <c r="M11" s="11">
        <v>0.0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3"/>
      <c r="B12" s="13"/>
      <c r="C12" s="13"/>
      <c r="D12" s="11" t="s">
        <v>29</v>
      </c>
      <c r="E12" s="11">
        <v>6.0</v>
      </c>
      <c r="F12" s="11" t="s">
        <v>22</v>
      </c>
      <c r="G12" s="11">
        <v>0.0</v>
      </c>
      <c r="H12" s="11">
        <v>0.0</v>
      </c>
      <c r="I12" s="11">
        <v>3.0</v>
      </c>
      <c r="J12" s="11">
        <v>3.0</v>
      </c>
      <c r="K12" s="11">
        <v>0.0</v>
      </c>
      <c r="L12" s="11">
        <v>0.0</v>
      </c>
      <c r="M12" s="11">
        <v>0.0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3"/>
      <c r="B13" s="13"/>
      <c r="C13" s="13"/>
      <c r="D13" s="11" t="s">
        <v>30</v>
      </c>
      <c r="E13" s="11">
        <v>3.0</v>
      </c>
      <c r="F13" s="16" t="s">
        <v>24</v>
      </c>
      <c r="G13" s="11">
        <v>0.0</v>
      </c>
      <c r="H13" s="11">
        <v>0.0</v>
      </c>
      <c r="I13" s="11">
        <v>3.0</v>
      </c>
      <c r="J13" s="11">
        <v>3.0</v>
      </c>
      <c r="K13" s="11">
        <v>2.0</v>
      </c>
      <c r="L13" s="11">
        <v>0.0</v>
      </c>
      <c r="M13" s="11">
        <v>0.0</v>
      </c>
      <c r="N13" s="1"/>
      <c r="O13" s="1"/>
      <c r="P13" s="15" t="s">
        <v>31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4.5" customHeight="1">
      <c r="A14" s="13"/>
      <c r="B14" s="13"/>
      <c r="C14" s="8"/>
      <c r="D14" s="17" t="s">
        <v>32</v>
      </c>
      <c r="E14" s="11">
        <v>3.0</v>
      </c>
      <c r="F14" s="11" t="s">
        <v>33</v>
      </c>
      <c r="G14" s="11">
        <v>0.0</v>
      </c>
      <c r="H14" s="11">
        <v>0.0</v>
      </c>
      <c r="I14" s="11">
        <v>0.0</v>
      </c>
      <c r="J14" s="11">
        <v>2.0</v>
      </c>
      <c r="K14" s="11">
        <v>0.0</v>
      </c>
      <c r="L14" s="11">
        <v>0.0</v>
      </c>
      <c r="M14" s="11">
        <v>0.0</v>
      </c>
      <c r="N14" s="1"/>
      <c r="O14" s="1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3"/>
      <c r="B15" s="13"/>
      <c r="C15" s="14" t="s">
        <v>14</v>
      </c>
      <c r="D15" s="19" t="s">
        <v>34</v>
      </c>
      <c r="E15" s="11">
        <v>3.0</v>
      </c>
      <c r="F15" s="11" t="s">
        <v>35</v>
      </c>
      <c r="G15" s="11">
        <v>0.0</v>
      </c>
      <c r="H15" s="11">
        <v>0.0</v>
      </c>
      <c r="I15" s="11">
        <v>0.0</v>
      </c>
      <c r="J15" s="11">
        <v>0.0</v>
      </c>
      <c r="K15" s="11">
        <v>3.0</v>
      </c>
      <c r="L15" s="11">
        <v>0.0</v>
      </c>
      <c r="M15" s="11">
        <v>3.0</v>
      </c>
      <c r="N15" s="1"/>
      <c r="O15" s="1"/>
      <c r="P15" s="20" t="s">
        <v>36</v>
      </c>
      <c r="Q15" s="6"/>
      <c r="R15" s="6"/>
      <c r="S15" s="6"/>
      <c r="T15" s="6"/>
      <c r="U15" s="6"/>
      <c r="V15" s="6"/>
      <c r="W15" s="6"/>
      <c r="X15" s="7"/>
      <c r="Y15" s="18"/>
      <c r="Z15" s="18"/>
      <c r="AA15" s="18"/>
    </row>
    <row r="16">
      <c r="A16" s="13"/>
      <c r="B16" s="13"/>
      <c r="C16" s="8"/>
      <c r="D16" s="19" t="s">
        <v>37</v>
      </c>
      <c r="E16" s="11">
        <v>3.0</v>
      </c>
      <c r="F16" s="11" t="s">
        <v>38</v>
      </c>
      <c r="G16" s="11">
        <v>0.0</v>
      </c>
      <c r="H16" s="11">
        <v>0.0</v>
      </c>
      <c r="I16" s="11">
        <v>0.0</v>
      </c>
      <c r="J16" s="11">
        <v>0.0</v>
      </c>
      <c r="K16" s="11">
        <v>0.0</v>
      </c>
      <c r="L16" s="11">
        <v>0.0</v>
      </c>
      <c r="M16" s="11">
        <v>3.0</v>
      </c>
      <c r="O16" s="1"/>
      <c r="P16" s="21"/>
      <c r="Q16" s="21"/>
      <c r="R16" s="22">
        <v>1.0</v>
      </c>
      <c r="S16" s="22">
        <v>2.0</v>
      </c>
      <c r="T16" s="22">
        <v>3.0</v>
      </c>
      <c r="U16" s="22">
        <v>4.0</v>
      </c>
      <c r="V16" s="22">
        <v>5.0</v>
      </c>
      <c r="W16" s="22">
        <v>6.0</v>
      </c>
      <c r="X16" s="22">
        <v>7.0</v>
      </c>
      <c r="Y16" s="18"/>
      <c r="Z16" s="18"/>
      <c r="AA16" s="18"/>
    </row>
    <row r="17">
      <c r="A17" s="13"/>
      <c r="B17" s="13"/>
      <c r="C17" s="14" t="s">
        <v>39</v>
      </c>
      <c r="D17" s="23" t="s">
        <v>40</v>
      </c>
      <c r="E17" s="11">
        <v>3.0</v>
      </c>
      <c r="F17" s="11" t="s">
        <v>41</v>
      </c>
      <c r="G17" s="11">
        <v>0.0</v>
      </c>
      <c r="H17" s="11">
        <v>3.0</v>
      </c>
      <c r="I17" s="11">
        <v>0.0</v>
      </c>
      <c r="J17" s="11">
        <v>0.0</v>
      </c>
      <c r="K17" s="11">
        <v>3.0</v>
      </c>
      <c r="L17" s="11">
        <v>0.0</v>
      </c>
      <c r="M17" s="11">
        <v>0.0</v>
      </c>
      <c r="N17" s="1"/>
      <c r="O17" s="1"/>
      <c r="P17" s="24" t="s">
        <v>42</v>
      </c>
      <c r="Q17" s="24" t="s">
        <v>43</v>
      </c>
      <c r="R17" s="22">
        <f t="shared" ref="R17:X17" si="1">SUM(G4:G30)</f>
        <v>11</v>
      </c>
      <c r="S17" s="22">
        <f t="shared" si="1"/>
        <v>17</v>
      </c>
      <c r="T17" s="22">
        <f t="shared" si="1"/>
        <v>8</v>
      </c>
      <c r="U17" s="22">
        <f t="shared" si="1"/>
        <v>21</v>
      </c>
      <c r="V17" s="22">
        <f t="shared" si="1"/>
        <v>53</v>
      </c>
      <c r="W17" s="22">
        <f t="shared" si="1"/>
        <v>21</v>
      </c>
      <c r="X17" s="22">
        <f t="shared" si="1"/>
        <v>31</v>
      </c>
      <c r="Y17" s="18"/>
      <c r="Z17" s="18"/>
      <c r="AA17" s="18"/>
    </row>
    <row r="18">
      <c r="A18" s="13"/>
      <c r="B18" s="13"/>
      <c r="C18" s="13"/>
      <c r="D18" s="25" t="s">
        <v>44</v>
      </c>
      <c r="E18" s="11">
        <v>3.0</v>
      </c>
      <c r="F18" s="11" t="s">
        <v>41</v>
      </c>
      <c r="G18" s="11">
        <v>0.0</v>
      </c>
      <c r="H18" s="11">
        <v>3.0</v>
      </c>
      <c r="I18" s="11">
        <v>0.0</v>
      </c>
      <c r="J18" s="11">
        <v>0.0</v>
      </c>
      <c r="K18" s="11">
        <v>3.0</v>
      </c>
      <c r="L18" s="11">
        <v>0.0</v>
      </c>
      <c r="M18" s="11">
        <v>0.0</v>
      </c>
      <c r="N18" s="1"/>
      <c r="O18" s="1"/>
      <c r="P18" s="24" t="s">
        <v>42</v>
      </c>
      <c r="Q18" s="24" t="s">
        <v>45</v>
      </c>
      <c r="R18" s="22">
        <f t="shared" ref="R18:X18" si="2">SUM($E$4:$E$30)*(1-R16/7)</f>
        <v>91.71428571</v>
      </c>
      <c r="S18" s="22">
        <f t="shared" si="2"/>
        <v>76.42857143</v>
      </c>
      <c r="T18" s="22">
        <f t="shared" si="2"/>
        <v>61.14285714</v>
      </c>
      <c r="U18" s="22">
        <f t="shared" si="2"/>
        <v>45.85714286</v>
      </c>
      <c r="V18" s="22">
        <f t="shared" si="2"/>
        <v>30.57142857</v>
      </c>
      <c r="W18" s="22">
        <f t="shared" si="2"/>
        <v>15.28571429</v>
      </c>
      <c r="X18" s="22">
        <f t="shared" si="2"/>
        <v>0</v>
      </c>
      <c r="Y18" s="18"/>
      <c r="Z18" s="18"/>
      <c r="AA18" s="18"/>
    </row>
    <row r="19">
      <c r="A19" s="13"/>
      <c r="B19" s="13"/>
      <c r="C19" s="13"/>
      <c r="D19" s="17" t="s">
        <v>46</v>
      </c>
      <c r="E19" s="11">
        <v>3.0</v>
      </c>
      <c r="F19" s="11" t="s">
        <v>47</v>
      </c>
      <c r="G19" s="11">
        <v>0.0</v>
      </c>
      <c r="H19" s="11">
        <v>0.0</v>
      </c>
      <c r="I19" s="11">
        <v>0.0</v>
      </c>
      <c r="J19" s="11">
        <v>3.0</v>
      </c>
      <c r="K19" s="11">
        <v>0.0</v>
      </c>
      <c r="L19" s="11">
        <v>0.0</v>
      </c>
      <c r="M19" s="11">
        <v>0.0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3"/>
      <c r="B20" s="13"/>
      <c r="C20" s="13"/>
      <c r="D20" s="19" t="s">
        <v>48</v>
      </c>
      <c r="E20" s="11">
        <v>6.0</v>
      </c>
      <c r="F20" s="11" t="s">
        <v>49</v>
      </c>
      <c r="G20" s="11">
        <v>0.0</v>
      </c>
      <c r="H20" s="11">
        <v>0.0</v>
      </c>
      <c r="I20" s="11">
        <v>0.0</v>
      </c>
      <c r="J20" s="11">
        <v>3.0</v>
      </c>
      <c r="K20" s="11">
        <v>3.0</v>
      </c>
      <c r="L20" s="11">
        <v>0.0</v>
      </c>
      <c r="M20" s="11">
        <v>0.0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3"/>
      <c r="B21" s="13"/>
      <c r="C21" s="13"/>
      <c r="D21" s="19" t="s">
        <v>50</v>
      </c>
      <c r="E21" s="11">
        <v>6.0</v>
      </c>
      <c r="F21" s="11" t="s">
        <v>49</v>
      </c>
      <c r="G21" s="11">
        <v>0.0</v>
      </c>
      <c r="H21" s="11">
        <v>0.0</v>
      </c>
      <c r="I21" s="11">
        <v>0.0</v>
      </c>
      <c r="J21" s="11">
        <v>3.0</v>
      </c>
      <c r="K21" s="11">
        <v>3.0</v>
      </c>
      <c r="L21" s="11">
        <v>0.0</v>
      </c>
      <c r="M21" s="11">
        <v>0.0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3"/>
      <c r="B22" s="13"/>
      <c r="C22" s="13"/>
      <c r="D22" s="17" t="s">
        <v>51</v>
      </c>
      <c r="E22" s="11">
        <v>6.0</v>
      </c>
      <c r="F22" s="11" t="s">
        <v>49</v>
      </c>
      <c r="G22" s="11">
        <v>0.0</v>
      </c>
      <c r="H22" s="11">
        <v>0.0</v>
      </c>
      <c r="I22" s="11">
        <v>0.0</v>
      </c>
      <c r="J22" s="11">
        <v>3.0</v>
      </c>
      <c r="K22" s="11">
        <v>3.0</v>
      </c>
      <c r="L22" s="11">
        <v>0.0</v>
      </c>
      <c r="M22" s="11">
        <v>0.0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3"/>
      <c r="B23" s="13"/>
      <c r="C23" s="13"/>
      <c r="D23" s="19" t="s">
        <v>52</v>
      </c>
      <c r="E23" s="11">
        <v>6.0</v>
      </c>
      <c r="F23" s="11" t="s">
        <v>38</v>
      </c>
      <c r="G23" s="11">
        <v>0.0</v>
      </c>
      <c r="H23" s="11">
        <v>0.0</v>
      </c>
      <c r="I23" s="11">
        <v>0.0</v>
      </c>
      <c r="J23" s="11">
        <v>0.0</v>
      </c>
      <c r="K23" s="11">
        <v>6.0</v>
      </c>
      <c r="L23" s="11">
        <v>0.0</v>
      </c>
      <c r="M23" s="11">
        <v>0.0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3"/>
      <c r="B24" s="13"/>
      <c r="C24" s="13"/>
      <c r="D24" s="17" t="s">
        <v>53</v>
      </c>
      <c r="E24" s="11">
        <v>9.0</v>
      </c>
      <c r="F24" s="11" t="s">
        <v>47</v>
      </c>
      <c r="G24" s="11">
        <v>0.0</v>
      </c>
      <c r="H24" s="11">
        <v>0.0</v>
      </c>
      <c r="I24" s="11">
        <v>0.0</v>
      </c>
      <c r="J24" s="11">
        <v>0.0</v>
      </c>
      <c r="K24" s="11">
        <v>9.0</v>
      </c>
      <c r="L24" s="11">
        <v>0.0</v>
      </c>
      <c r="M24" s="11">
        <v>0.0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3"/>
      <c r="B25" s="13"/>
      <c r="C25" s="8"/>
      <c r="D25" s="19" t="s">
        <v>54</v>
      </c>
      <c r="E25" s="11">
        <v>9.0</v>
      </c>
      <c r="F25" s="11" t="s">
        <v>47</v>
      </c>
      <c r="G25" s="11">
        <v>0.0</v>
      </c>
      <c r="H25" s="11">
        <v>0.0</v>
      </c>
      <c r="I25" s="11">
        <v>0.0</v>
      </c>
      <c r="J25" s="11">
        <v>0.0</v>
      </c>
      <c r="K25" s="11">
        <v>9.0</v>
      </c>
      <c r="L25" s="11">
        <v>9.0</v>
      </c>
      <c r="M25" s="11">
        <v>0.0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3"/>
      <c r="B26" s="13"/>
      <c r="C26" s="14" t="s">
        <v>55</v>
      </c>
      <c r="D26" s="11" t="s">
        <v>56</v>
      </c>
      <c r="E26" s="11">
        <v>3.0</v>
      </c>
      <c r="F26" s="16" t="s">
        <v>57</v>
      </c>
      <c r="G26" s="11">
        <v>0.0</v>
      </c>
      <c r="H26" s="11">
        <v>0.0</v>
      </c>
      <c r="I26" s="11">
        <v>0.0</v>
      </c>
      <c r="J26" s="11">
        <v>0.0</v>
      </c>
      <c r="K26" s="11">
        <v>3.0</v>
      </c>
      <c r="L26" s="11">
        <v>3.0</v>
      </c>
      <c r="M26" s="11">
        <v>6.0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3"/>
      <c r="B27" s="13"/>
      <c r="C27" s="13"/>
      <c r="D27" s="11" t="s">
        <v>58</v>
      </c>
      <c r="E27" s="11">
        <v>3.0</v>
      </c>
      <c r="F27" s="16" t="s">
        <v>57</v>
      </c>
      <c r="G27" s="11">
        <v>0.0</v>
      </c>
      <c r="H27" s="11">
        <v>0.0</v>
      </c>
      <c r="I27" s="11">
        <v>0.0</v>
      </c>
      <c r="J27" s="11">
        <v>0.0</v>
      </c>
      <c r="K27" s="11">
        <v>0.0</v>
      </c>
      <c r="L27" s="11">
        <v>0.0</v>
      </c>
      <c r="M27" s="11">
        <v>4.0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3"/>
      <c r="B28" s="13"/>
      <c r="C28" s="13"/>
      <c r="D28" s="11" t="s">
        <v>59</v>
      </c>
      <c r="E28" s="11">
        <v>3.0</v>
      </c>
      <c r="F28" s="16" t="s">
        <v>57</v>
      </c>
      <c r="G28" s="11">
        <v>0.0</v>
      </c>
      <c r="H28" s="11">
        <v>0.0</v>
      </c>
      <c r="I28" s="11">
        <v>0.0</v>
      </c>
      <c r="J28" s="11">
        <v>0.0</v>
      </c>
      <c r="K28" s="11">
        <v>0.0</v>
      </c>
      <c r="L28" s="11">
        <v>3.0</v>
      </c>
      <c r="M28" s="11">
        <v>3.0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3"/>
      <c r="B29" s="13"/>
      <c r="C29" s="8"/>
      <c r="D29" s="11" t="s">
        <v>60</v>
      </c>
      <c r="E29" s="11">
        <v>3.0</v>
      </c>
      <c r="F29" s="16" t="s">
        <v>57</v>
      </c>
      <c r="G29" s="11">
        <v>0.0</v>
      </c>
      <c r="H29" s="11">
        <v>0.0</v>
      </c>
      <c r="I29" s="11">
        <v>0.0</v>
      </c>
      <c r="J29" s="11">
        <v>0.0</v>
      </c>
      <c r="K29" s="11">
        <v>0.0</v>
      </c>
      <c r="L29" s="11">
        <v>0.0</v>
      </c>
      <c r="M29" s="11">
        <v>3.0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8"/>
      <c r="B30" s="8"/>
      <c r="C30" s="12" t="s">
        <v>61</v>
      </c>
      <c r="D30" s="11" t="s">
        <v>62</v>
      </c>
      <c r="E30" s="11">
        <v>6.0</v>
      </c>
      <c r="F30" s="11" t="s">
        <v>38</v>
      </c>
      <c r="G30" s="11">
        <v>0.0</v>
      </c>
      <c r="H30" s="11">
        <v>0.0</v>
      </c>
      <c r="I30" s="11">
        <v>0.0</v>
      </c>
      <c r="J30" s="11">
        <v>0.0</v>
      </c>
      <c r="K30" s="11">
        <v>6.0</v>
      </c>
      <c r="L30" s="11">
        <v>6.0</v>
      </c>
      <c r="M30" s="11">
        <v>6.0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26"/>
      <c r="B31" s="15"/>
      <c r="C31" s="27"/>
      <c r="D31" s="15"/>
      <c r="E31" s="15">
        <f>SUM(E4:E30)</f>
        <v>107</v>
      </c>
      <c r="F31" s="15"/>
      <c r="G31" s="15"/>
      <c r="H31" s="15"/>
      <c r="I31" s="15"/>
      <c r="J31" s="15"/>
      <c r="K31" s="15"/>
      <c r="L31" s="15"/>
      <c r="M31" s="1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26"/>
      <c r="B32" s="15"/>
      <c r="C32" s="27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26"/>
      <c r="B33" s="15"/>
      <c r="C33" s="2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26"/>
      <c r="B34" s="15"/>
      <c r="C34" s="27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26"/>
      <c r="B35" s="15"/>
      <c r="C35" s="27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26"/>
      <c r="B36" s="15"/>
      <c r="C36" s="27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26"/>
      <c r="B37" s="15"/>
      <c r="C37" s="2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26"/>
      <c r="B38" s="15"/>
      <c r="C38" s="27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26"/>
      <c r="B39" s="15"/>
      <c r="C39" s="2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26"/>
      <c r="B40" s="15"/>
      <c r="C40" s="27"/>
      <c r="D40" s="15"/>
      <c r="E40" s="15"/>
      <c r="F40" s="28"/>
      <c r="G40" s="15"/>
      <c r="H40" s="15"/>
      <c r="I40" s="15"/>
      <c r="J40" s="15"/>
      <c r="K40" s="15"/>
      <c r="L40" s="15"/>
      <c r="M40" s="1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26"/>
      <c r="B41" s="15"/>
      <c r="C41" s="27"/>
      <c r="D41" s="29"/>
      <c r="E41" s="15"/>
      <c r="F41" s="15"/>
      <c r="G41" s="15"/>
      <c r="H41" s="15"/>
      <c r="I41" s="15"/>
      <c r="J41" s="15"/>
      <c r="K41" s="15"/>
      <c r="L41" s="15"/>
      <c r="M41" s="1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26"/>
      <c r="B42" s="15"/>
      <c r="C42" s="27"/>
      <c r="D42" s="30"/>
      <c r="E42" s="15"/>
      <c r="F42" s="15"/>
      <c r="G42" s="15"/>
      <c r="H42" s="15"/>
      <c r="I42" s="15"/>
      <c r="J42" s="15"/>
      <c r="K42" s="15"/>
      <c r="L42" s="15"/>
      <c r="M42" s="1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26"/>
      <c r="B43" s="15"/>
      <c r="C43" s="27"/>
      <c r="D43" s="30"/>
      <c r="E43" s="15"/>
      <c r="F43" s="15"/>
      <c r="G43" s="15"/>
      <c r="H43" s="15"/>
      <c r="I43" s="15"/>
      <c r="J43" s="15"/>
      <c r="K43" s="15"/>
      <c r="L43" s="15"/>
      <c r="M43" s="1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26"/>
      <c r="B44" s="15"/>
      <c r="C44" s="27"/>
      <c r="D44" s="31"/>
      <c r="E44" s="15"/>
      <c r="F44" s="15"/>
      <c r="G44" s="15"/>
      <c r="H44" s="15"/>
      <c r="I44" s="15"/>
      <c r="J44" s="15"/>
      <c r="K44" s="15"/>
      <c r="L44" s="15"/>
      <c r="M44" s="1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26"/>
      <c r="B45" s="15"/>
      <c r="C45" s="27"/>
      <c r="D45" s="32"/>
      <c r="E45" s="15"/>
      <c r="F45" s="15"/>
      <c r="G45" s="15"/>
      <c r="H45" s="15"/>
      <c r="I45" s="15"/>
      <c r="J45" s="15"/>
      <c r="K45" s="15"/>
      <c r="L45" s="15"/>
      <c r="M45" s="1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26"/>
      <c r="B46" s="15"/>
      <c r="C46" s="27"/>
      <c r="D46" s="29"/>
      <c r="E46" s="15"/>
      <c r="F46" s="15"/>
      <c r="G46" s="15"/>
      <c r="H46" s="15"/>
      <c r="I46" s="15"/>
      <c r="J46" s="15"/>
      <c r="K46" s="15"/>
      <c r="L46" s="15"/>
      <c r="M46" s="1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26"/>
      <c r="B47" s="15"/>
      <c r="C47" s="27"/>
      <c r="D47" s="30"/>
      <c r="E47" s="15"/>
      <c r="F47" s="15"/>
      <c r="G47" s="15"/>
      <c r="H47" s="15"/>
      <c r="I47" s="15"/>
      <c r="J47" s="15"/>
      <c r="K47" s="15"/>
      <c r="L47" s="15"/>
      <c r="M47" s="1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26"/>
      <c r="B48" s="15"/>
      <c r="C48" s="27"/>
      <c r="D48" s="30"/>
      <c r="E48" s="15"/>
      <c r="F48" s="15"/>
      <c r="G48" s="15"/>
      <c r="H48" s="15"/>
      <c r="I48" s="15"/>
      <c r="J48" s="15"/>
      <c r="K48" s="15"/>
      <c r="L48" s="15"/>
      <c r="M48" s="1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26"/>
      <c r="B49" s="15"/>
      <c r="C49" s="27"/>
      <c r="D49" s="29"/>
      <c r="E49" s="15"/>
      <c r="F49" s="15"/>
      <c r="G49" s="15"/>
      <c r="H49" s="15"/>
      <c r="I49" s="15"/>
      <c r="J49" s="15"/>
      <c r="K49" s="15"/>
      <c r="L49" s="15"/>
      <c r="M49" s="1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26"/>
      <c r="B50" s="15"/>
      <c r="C50" s="27"/>
      <c r="D50" s="30"/>
      <c r="E50" s="15"/>
      <c r="F50" s="15"/>
      <c r="G50" s="15"/>
      <c r="H50" s="15"/>
      <c r="I50" s="15"/>
      <c r="J50" s="15"/>
      <c r="K50" s="15"/>
      <c r="L50" s="15"/>
      <c r="M50" s="1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26"/>
      <c r="B51" s="15"/>
      <c r="C51" s="27"/>
      <c r="D51" s="29"/>
      <c r="E51" s="15"/>
      <c r="F51" s="15"/>
      <c r="G51" s="15"/>
      <c r="H51" s="15"/>
      <c r="I51" s="15"/>
      <c r="J51" s="15"/>
      <c r="K51" s="15"/>
      <c r="L51" s="15"/>
      <c r="M51" s="1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26"/>
      <c r="B52" s="15"/>
      <c r="C52" s="27"/>
      <c r="D52" s="30"/>
      <c r="E52" s="15"/>
      <c r="F52" s="15"/>
      <c r="G52" s="15"/>
      <c r="H52" s="15"/>
      <c r="I52" s="15"/>
      <c r="J52" s="15"/>
      <c r="K52" s="15"/>
      <c r="L52" s="15"/>
      <c r="M52" s="1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26"/>
      <c r="B53" s="15"/>
      <c r="C53" s="27"/>
      <c r="D53" s="15"/>
      <c r="E53" s="15"/>
      <c r="F53" s="28"/>
      <c r="G53" s="15"/>
      <c r="H53" s="15"/>
      <c r="I53" s="15"/>
      <c r="J53" s="15"/>
      <c r="K53" s="15"/>
      <c r="L53" s="15"/>
      <c r="M53" s="1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26"/>
      <c r="B54" s="15"/>
      <c r="C54" s="27"/>
      <c r="D54" s="15"/>
      <c r="E54" s="15"/>
      <c r="F54" s="28"/>
      <c r="G54" s="15"/>
      <c r="H54" s="15"/>
      <c r="I54" s="15"/>
      <c r="J54" s="15"/>
      <c r="K54" s="15"/>
      <c r="L54" s="15"/>
      <c r="M54" s="15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26"/>
      <c r="B55" s="15"/>
      <c r="C55" s="27"/>
      <c r="D55" s="15"/>
      <c r="E55" s="15"/>
      <c r="F55" s="28"/>
      <c r="G55" s="15"/>
      <c r="H55" s="15"/>
      <c r="I55" s="15"/>
      <c r="J55" s="15"/>
      <c r="K55" s="15"/>
      <c r="L55" s="15"/>
      <c r="M55" s="1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26"/>
      <c r="B56" s="15"/>
      <c r="C56" s="27"/>
      <c r="D56" s="15"/>
      <c r="E56" s="15"/>
      <c r="F56" s="28"/>
      <c r="G56" s="15"/>
      <c r="H56" s="15"/>
      <c r="I56" s="15"/>
      <c r="J56" s="15"/>
      <c r="K56" s="15"/>
      <c r="L56" s="15"/>
      <c r="M56" s="1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26"/>
      <c r="B57" s="15"/>
      <c r="C57" s="27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</sheetData>
  <mergeCells count="13">
    <mergeCell ref="C2:D3"/>
    <mergeCell ref="C5:C14"/>
    <mergeCell ref="P15:X15"/>
    <mergeCell ref="C15:C16"/>
    <mergeCell ref="C17:C25"/>
    <mergeCell ref="A4:A30"/>
    <mergeCell ref="A2:A3"/>
    <mergeCell ref="B2:B3"/>
    <mergeCell ref="E2:E3"/>
    <mergeCell ref="F2:F3"/>
    <mergeCell ref="G2:M2"/>
    <mergeCell ref="C26:C29"/>
    <mergeCell ref="B4:B30"/>
  </mergeCells>
  <drawing r:id="rId1"/>
</worksheet>
</file>